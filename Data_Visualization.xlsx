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idushashrestha/Downloads/"/>
    </mc:Choice>
  </mc:AlternateContent>
  <xr:revisionPtr revIDLastSave="0" documentId="8_{2E2AF81E-4491-CC4C-B0F3-1FD131CFBE7B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Monthly Trend" sheetId="4" r:id="rId1"/>
    <sheet name="Category Analysis" sheetId="5" r:id="rId2"/>
    <sheet name="Top Products" sheetId="6" r:id="rId3"/>
    <sheet name="Country Analysis" sheetId="7" r:id="rId4"/>
  </sheets>
  <definedNames>
    <definedName name="_xlnm._FilterDatabase" localSheetId="0" hidden="1">'Monthly Trend'!$A$2:$I$2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<sst xmlns="http://schemas.openxmlformats.org/spreadsheetml/2006/main" count="146" uniqueCount="86">
  <si>
    <t>Category</t>
  </si>
  <si>
    <t>Country</t>
  </si>
  <si>
    <t>Party Supplies</t>
  </si>
  <si>
    <t>United Kingdom</t>
  </si>
  <si>
    <t>23355</t>
  </si>
  <si>
    <t>HOT WATER BOTTLE KEEP CALM</t>
  </si>
  <si>
    <t>Novelty</t>
  </si>
  <si>
    <t>22469</t>
  </si>
  <si>
    <t>HEART OF WICKER SMALL</t>
  </si>
  <si>
    <t>Home Decor</t>
  </si>
  <si>
    <t>22459</t>
  </si>
  <si>
    <t>PICNIC BASKET WICKER LARGE</t>
  </si>
  <si>
    <t>Outdoor</t>
  </si>
  <si>
    <t>22720</t>
  </si>
  <si>
    <t>SET OF 3 CAKE TINS PANTRY</t>
  </si>
  <si>
    <t>Kitchenware</t>
  </si>
  <si>
    <t>Kitchen</t>
  </si>
  <si>
    <t>47566</t>
  </si>
  <si>
    <t>PARTY BUNTING</t>
  </si>
  <si>
    <t>Bags</t>
  </si>
  <si>
    <t>22961</t>
  </si>
  <si>
    <t>JAM MAKING SET WITH JARS</t>
  </si>
  <si>
    <t>Netherlands</t>
  </si>
  <si>
    <t>23084</t>
  </si>
  <si>
    <t>RABBIT NIGHT LIGHT</t>
  </si>
  <si>
    <t>France</t>
  </si>
  <si>
    <t>22411</t>
  </si>
  <si>
    <t>JUMBO SHOPPER VINTAGE RED</t>
  </si>
  <si>
    <t>21889</t>
  </si>
  <si>
    <t>WOODEN BOX OF CRAFT SHAPES</t>
  </si>
  <si>
    <t>Craft</t>
  </si>
  <si>
    <t>85123</t>
  </si>
  <si>
    <t>WHITE HANGING HEART T-LIGHT</t>
  </si>
  <si>
    <t>20725</t>
  </si>
  <si>
    <t>LUNCH BAG RED RETROSPOT</t>
  </si>
  <si>
    <t>22423</t>
  </si>
  <si>
    <t>REGENCY CAKESTAND 3 TIER</t>
  </si>
  <si>
    <t>21212</t>
  </si>
  <si>
    <t>PACK OF 72 RETROSPOT CAKE CASES</t>
  </si>
  <si>
    <t>22086</t>
  </si>
  <si>
    <t>PAPER CHAIN KIT 50S CHRISTMAS</t>
  </si>
  <si>
    <t>Seasonal</t>
  </si>
  <si>
    <t>22578</t>
  </si>
  <si>
    <t>ADVENT CALENDAR GINGHAM SACK</t>
  </si>
  <si>
    <t>Spain</t>
  </si>
  <si>
    <t>Germany</t>
  </si>
  <si>
    <t>Portugal</t>
  </si>
  <si>
    <t>Belgium</t>
  </si>
  <si>
    <t>EIRE</t>
  </si>
  <si>
    <t>Switzerland</t>
  </si>
  <si>
    <t>Australia</t>
  </si>
  <si>
    <t>Year</t>
  </si>
  <si>
    <t>Month</t>
  </si>
  <si>
    <t>Quarter</t>
  </si>
  <si>
    <t>Oct</t>
  </si>
  <si>
    <t>Q4</t>
  </si>
  <si>
    <t>Aug</t>
  </si>
  <si>
    <t>Q3</t>
  </si>
  <si>
    <t>Apr</t>
  </si>
  <si>
    <t>Q2</t>
  </si>
  <si>
    <t>Sep</t>
  </si>
  <si>
    <t>Mar</t>
  </si>
  <si>
    <t>Q1</t>
  </si>
  <si>
    <t>Jun</t>
  </si>
  <si>
    <t>Nov</t>
  </si>
  <si>
    <t>May</t>
  </si>
  <si>
    <t>Dec</t>
  </si>
  <si>
    <t>Jul</t>
  </si>
  <si>
    <t>Feb</t>
  </si>
  <si>
    <t>Jan</t>
  </si>
  <si>
    <t>Revenue (£)</t>
  </si>
  <si>
    <t>Orders</t>
  </si>
  <si>
    <t>Customers</t>
  </si>
  <si>
    <t>Units</t>
  </si>
  <si>
    <t>AOV (£)</t>
  </si>
  <si>
    <t>MONTHLY REVENUE TREND — 2023 vs 2024</t>
  </si>
  <si>
    <t>Month Name</t>
  </si>
  <si>
    <t>REVENUE &amp; PERFORMANCE BY PRODUCT CATEGORY</t>
  </si>
  <si>
    <t>Rank</t>
  </si>
  <si>
    <t>Revenue %</t>
  </si>
  <si>
    <t>Units Sold</t>
  </si>
  <si>
    <t>Avg Price (£)</t>
  </si>
  <si>
    <t>TOP 15 PRODUCTS BY REVENUE</t>
  </si>
  <si>
    <t>Stock Code</t>
  </si>
  <si>
    <t>Product Description</t>
  </si>
  <si>
    <t>REVENUE BY COUNTRY — GEOGRAPHIC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</si>
</sst>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3"/>
      <color rgb="FFFFFFFF"/>
      <name val="Calibri"/>
      <family val="2"/>
    </font>
    <font>
      <b/>
      <sz val="9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4F6F7"/>
      </patternFill>
    </fill>
    <fill>
      <patternFill patternType="solid">
        <fgColor rgb="FFE8DAEF"/>
      </patternFill>
    </fill>
    <fill>
      <patternFill patternType="solid">
        <fgColor rgb="FFFCF3CF"/>
      </patternFill>
    </fill>
    <fill>
      <patternFill patternType="solid">
        <fgColor rgb="FFD6EEF8"/>
      </patternFill>
    </fill>
  </fills>
  <borders count="3">
    <border>
      <left/>
      <right/>
      <top/>
      <bottom/>
      <diagonal/>
    </border>
    <border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right" vertical="center"/>
    </xf>
    <xf numFmtId="4" fontId="2" fillId="9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right" vertical="center"/>
    </xf>
    <xf numFmtId="4" fontId="2" fillId="6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left" vertical="center"/>
    </xf>
    <xf numFmtId="3" fontId="2" fillId="9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right" vertical="center"/>
    </xf>
    <xf numFmtId="3" fontId="2" fillId="5" borderId="2" xfId="0" applyNumberFormat="1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3" fontId="2" fillId="7" borderId="2" xfId="0" applyNumberFormat="1" applyFont="1" applyFill="1" applyBorder="1" applyAlignment="1">
      <alignment horizontal="right" vertical="center"/>
    </xf>
    <xf numFmtId="164" fontId="2" fillId="7" borderId="2" xfId="0" applyNumberFormat="1" applyFont="1" applyFill="1" applyBorder="1" applyAlignment="1">
      <alignment horizontal="right" vertical="center"/>
    </xf>
    <xf numFmtId="4" fontId="2" fillId="7" borderId="2" xfId="0" applyNumberFormat="1" applyFont="1" applyFill="1" applyBorder="1" applyAlignment="1">
      <alignment horizontal="right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3" fontId="2" fillId="8" borderId="2" xfId="0" applyNumberFormat="1" applyFont="1" applyFill="1" applyBorder="1" applyAlignment="1">
      <alignment horizontal="right" vertical="center"/>
    </xf>
    <xf numFmtId="164" fontId="2" fillId="8" borderId="2" xfId="0" applyNumberFormat="1" applyFont="1" applyFill="1" applyBorder="1" applyAlignment="1">
      <alignment horizontal="right" vertical="center"/>
    </xf>
    <xf numFmtId="4" fontId="2" fillId="8" borderId="2" xfId="0" applyNumberFormat="1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3" fontId="2" fillId="10" borderId="2" xfId="0" applyNumberFormat="1" applyFont="1" applyFill="1" applyBorder="1" applyAlignment="1">
      <alignment horizontal="right" vertical="center"/>
    </xf>
    <xf numFmtId="164" fontId="2" fillId="10" borderId="2" xfId="0" applyNumberFormat="1" applyFont="1" applyFill="1" applyBorder="1" applyAlignment="1">
      <alignment horizontal="right" vertical="center"/>
    </xf>
    <xf numFmtId="4" fontId="2" fillId="10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3" fontId="2" fillId="11" borderId="2" xfId="0" applyNumberFormat="1" applyFont="1" applyFill="1" applyBorder="1" applyAlignment="1">
      <alignment horizontal="right" vertical="center"/>
    </xf>
    <xf numFmtId="164" fontId="2" fillId="11" borderId="2" xfId="0" applyNumberFormat="1" applyFont="1" applyFill="1" applyBorder="1" applyAlignment="1">
      <alignment horizontal="right" vertical="center"/>
    </xf>
    <xf numFmtId="4" fontId="2" fillId="11" borderId="2" xfId="0" applyNumberFormat="1" applyFont="1" applyFill="1" applyBorder="1" applyAlignment="1">
      <alignment horizontal="right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3" fontId="2" fillId="12" borderId="2" xfId="0" applyNumberFormat="1" applyFont="1" applyFill="1" applyBorder="1" applyAlignment="1">
      <alignment horizontal="right" vertical="center"/>
    </xf>
    <xf numFmtId="164" fontId="2" fillId="12" borderId="2" xfId="0" applyNumberFormat="1" applyFont="1" applyFill="1" applyBorder="1" applyAlignment="1">
      <alignment horizontal="right" vertical="center"/>
    </xf>
    <xf numFmtId="4" fontId="2" fillId="12" borderId="2" xfId="0" applyNumberFormat="1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/>
    </xf>
    <xf numFmtId="3" fontId="2" fillId="13" borderId="2" xfId="0" applyNumberFormat="1" applyFont="1" applyFill="1" applyBorder="1" applyAlignment="1">
      <alignment horizontal="right" vertical="center"/>
    </xf>
    <xf numFmtId="164" fontId="2" fillId="13" borderId="2" xfId="0" applyNumberFormat="1" applyFont="1" applyFill="1" applyBorder="1" applyAlignment="1">
      <alignment horizontal="right" vertical="center"/>
    </xf>
    <xf numFmtId="4" fontId="2" fillId="1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164" fontId="2" fillId="9" borderId="2" xfId="0" applyNumberFormat="1" applyFont="1" applyFill="1" applyBorder="1" applyAlignment="1">
      <alignment horizontal="righ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 (2023 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Trend'!$E$2</c:f>
              <c:strCache>
                <c:ptCount val="1"/>
                <c:pt idx="0">
                  <c:v>Revenue (£)</c:v>
                </c:pt>
              </c:strCache>
            </c:strRef>
          </c:tx>
          <c:spPr>
            <a:ln w="25000">
              <a:solidFill>
                <a:srgbClr val="2E86C1"/>
              </a:solidFill>
              <a:prstDash val="solid"/>
            </a:ln>
          </c:spPr>
          <c:marker>
            <c:symbol val="none"/>
          </c:marker>
          <c:cat>
            <c:strRef>
              <c:f>'Monthly Trend'!$C$3:$C$14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Trend'!$E$3:$E$26</c:f>
              <c:numCache>
                <c:formatCode>#,##0</c:formatCode>
                <c:ptCount val="24"/>
                <c:pt idx="0">
                  <c:v>2059.31</c:v>
                </c:pt>
                <c:pt idx="1">
                  <c:v>2062.5</c:v>
                </c:pt>
                <c:pt idx="2">
                  <c:v>3220.18</c:v>
                </c:pt>
                <c:pt idx="3">
                  <c:v>4412.57</c:v>
                </c:pt>
                <c:pt idx="4">
                  <c:v>3199.8</c:v>
                </c:pt>
                <c:pt idx="5">
                  <c:v>3305.05</c:v>
                </c:pt>
                <c:pt idx="6">
                  <c:v>4636.18</c:v>
                </c:pt>
                <c:pt idx="7">
                  <c:v>4558.82</c:v>
                </c:pt>
                <c:pt idx="8">
                  <c:v>3432.06</c:v>
                </c:pt>
                <c:pt idx="9">
                  <c:v>4115.8</c:v>
                </c:pt>
                <c:pt idx="10">
                  <c:v>7372.61</c:v>
                </c:pt>
                <c:pt idx="11">
                  <c:v>6915.25</c:v>
                </c:pt>
                <c:pt idx="12">
                  <c:v>2579.29</c:v>
                </c:pt>
                <c:pt idx="13">
                  <c:v>2190.1799999999998</c:v>
                </c:pt>
                <c:pt idx="14">
                  <c:v>3523.2</c:v>
                </c:pt>
                <c:pt idx="15">
                  <c:v>3398.3</c:v>
                </c:pt>
                <c:pt idx="16">
                  <c:v>4861.82</c:v>
                </c:pt>
                <c:pt idx="17">
                  <c:v>3741.11</c:v>
                </c:pt>
                <c:pt idx="18">
                  <c:v>4355.5600000000004</c:v>
                </c:pt>
                <c:pt idx="19">
                  <c:v>3556.28</c:v>
                </c:pt>
                <c:pt idx="20">
                  <c:v>3248.33</c:v>
                </c:pt>
                <c:pt idx="21">
                  <c:v>4789.99</c:v>
                </c:pt>
                <c:pt idx="22">
                  <c:v>5767.96</c:v>
                </c:pt>
                <c:pt idx="23">
                  <c:v>5931.83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14-CC46-82DA-C2146F4E0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(£)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Analysis'!$C$2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2E86C1"/>
            </a:solidFill>
            <a:ln>
              <a:prstDash val="solid"/>
            </a:ln>
          </c:spPr>
          <c:invertIfNegative val="1"/>
          <c:cat>
            <c:strRef>
              <c:f>'Category Analysis'!$B$3:$B$11</c:f>
              <c:strCache>
                <c:ptCount val="9"/>
                <c:pt idx="0">
                  <c:v>Kitchenware</c:v>
                </c:pt>
                <c:pt idx="1">
                  <c:v>Outdoor</c:v>
                </c:pt>
                <c:pt idx="2">
                  <c:v>Seasonal</c:v>
                </c:pt>
                <c:pt idx="3">
                  <c:v>Home Decor</c:v>
                </c:pt>
                <c:pt idx="4">
                  <c:v>Novelty</c:v>
                </c:pt>
                <c:pt idx="5">
                  <c:v>Party Supplies</c:v>
                </c:pt>
                <c:pt idx="6">
                  <c:v>Bags</c:v>
                </c:pt>
                <c:pt idx="7">
                  <c:v>Craft</c:v>
                </c:pt>
                <c:pt idx="8">
                  <c:v>Kitchen</c:v>
                </c:pt>
              </c:strCache>
            </c:strRef>
          </c:cat>
          <c:val>
            <c:numRef>
              <c:f>'Category Analysis'!$C$3:$C$11</c:f>
              <c:numCache>
                <c:formatCode>#,##0</c:formatCode>
                <c:ptCount val="9"/>
                <c:pt idx="0">
                  <c:v>18817.36</c:v>
                </c:pt>
                <c:pt idx="1">
                  <c:v>14381.87</c:v>
                </c:pt>
                <c:pt idx="2">
                  <c:v>13052.5</c:v>
                </c:pt>
                <c:pt idx="3">
                  <c:v>12690.86</c:v>
                </c:pt>
                <c:pt idx="4">
                  <c:v>9810.2100000000009</c:v>
                </c:pt>
                <c:pt idx="5">
                  <c:v>9206.9</c:v>
                </c:pt>
                <c:pt idx="6">
                  <c:v>8912.73</c:v>
                </c:pt>
                <c:pt idx="7">
                  <c:v>5506.1</c:v>
                </c:pt>
                <c:pt idx="8">
                  <c:v>4855.45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9D-1149-808C-2E011EE7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(£)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Share %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'Category Analysis'!$C$2</c:f>
              <c:strCache>
                <c:ptCount val="1"/>
                <c:pt idx="0">
                  <c:v>Revenue (£)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Analysis'!$B$3:$B$11</c:f>
              <c:strCache>
                <c:ptCount val="9"/>
                <c:pt idx="0">
                  <c:v>Kitchenware</c:v>
                </c:pt>
                <c:pt idx="1">
                  <c:v>Outdoor</c:v>
                </c:pt>
                <c:pt idx="2">
                  <c:v>Seasonal</c:v>
                </c:pt>
                <c:pt idx="3">
                  <c:v>Home Decor</c:v>
                </c:pt>
                <c:pt idx="4">
                  <c:v>Novelty</c:v>
                </c:pt>
                <c:pt idx="5">
                  <c:v>Party Supplies</c:v>
                </c:pt>
                <c:pt idx="6">
                  <c:v>Bags</c:v>
                </c:pt>
                <c:pt idx="7">
                  <c:v>Craft</c:v>
                </c:pt>
                <c:pt idx="8">
                  <c:v>Kitchen</c:v>
                </c:pt>
              </c:strCache>
            </c:strRef>
          </c:cat>
          <c:val>
            <c:numRef>
              <c:f>'Category Analysis'!$C$3:$C$11</c:f>
              <c:numCache>
                <c:formatCode>#,##0</c:formatCode>
                <c:ptCount val="9"/>
                <c:pt idx="0">
                  <c:v>18817.36</c:v>
                </c:pt>
                <c:pt idx="1">
                  <c:v>14381.87</c:v>
                </c:pt>
                <c:pt idx="2">
                  <c:v>13052.5</c:v>
                </c:pt>
                <c:pt idx="3">
                  <c:v>12690.86</c:v>
                </c:pt>
                <c:pt idx="4">
                  <c:v>9810.2100000000009</c:v>
                </c:pt>
                <c:pt idx="5">
                  <c:v>9206.9</c:v>
                </c:pt>
                <c:pt idx="6">
                  <c:v>8912.73</c:v>
                </c:pt>
                <c:pt idx="7">
                  <c:v>5506.1</c:v>
                </c:pt>
                <c:pt idx="8">
                  <c:v>4855.45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3-6C4C-8157-F6C1AE979C5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15 Products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Products'!$E$2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8E44AD"/>
            </a:solidFill>
            <a:ln>
              <a:prstDash val="solid"/>
            </a:ln>
          </c:spPr>
          <c:invertIfNegative val="1"/>
          <c:cat>
            <c:strRef>
              <c:f>'Top Products'!$C$3:$C$17</c:f>
              <c:strCache>
                <c:ptCount val="15"/>
                <c:pt idx="0">
                  <c:v>PICNIC BASKET WICKER LARGE</c:v>
                </c:pt>
                <c:pt idx="1">
                  <c:v>ADVENT CALENDAR GINGHAM SACK</c:v>
                </c:pt>
                <c:pt idx="2">
                  <c:v>PARTY BUNTING</c:v>
                </c:pt>
                <c:pt idx="3">
                  <c:v>HOT WATER BOTTLE KEEP CALM</c:v>
                </c:pt>
                <c:pt idx="4">
                  <c:v>JAM MAKING SET WITH JARS</c:v>
                </c:pt>
                <c:pt idx="5">
                  <c:v>REGENCY CAKESTAND 3 TIER</c:v>
                </c:pt>
                <c:pt idx="6">
                  <c:v>SET OF 3 CAKE TINS PANTRY</c:v>
                </c:pt>
                <c:pt idx="7">
                  <c:v>WOODEN BOX OF CRAFT SHAPES</c:v>
                </c:pt>
                <c:pt idx="8">
                  <c:v>PAPER CHAIN KIT 50S CHRISTMAS</c:v>
                </c:pt>
                <c:pt idx="9">
                  <c:v>WHITE HANGING HEART T-LIGHT</c:v>
                </c:pt>
                <c:pt idx="10">
                  <c:v>JUMBO SHOPPER VINTAGE RED</c:v>
                </c:pt>
                <c:pt idx="11">
                  <c:v>RABBIT NIGHT LIGHT</c:v>
                </c:pt>
                <c:pt idx="12">
                  <c:v>PACK OF 72 RETROSPOT CAKE CASES</c:v>
                </c:pt>
                <c:pt idx="13">
                  <c:v>LUNCH BAG RED RETROSPOT</c:v>
                </c:pt>
                <c:pt idx="14">
                  <c:v>HEART OF WICKER SMALL</c:v>
                </c:pt>
              </c:strCache>
            </c:strRef>
          </c:cat>
          <c:val>
            <c:numRef>
              <c:f>'Top Products'!$E$3:$E$17</c:f>
              <c:numCache>
                <c:formatCode>#,##0</c:formatCode>
                <c:ptCount val="15"/>
                <c:pt idx="0">
                  <c:v>14381.87</c:v>
                </c:pt>
                <c:pt idx="1">
                  <c:v>8698.5400000000009</c:v>
                </c:pt>
                <c:pt idx="2">
                  <c:v>7859.65</c:v>
                </c:pt>
                <c:pt idx="3">
                  <c:v>7549.2</c:v>
                </c:pt>
                <c:pt idx="4">
                  <c:v>6428.3</c:v>
                </c:pt>
                <c:pt idx="5">
                  <c:v>6264.16</c:v>
                </c:pt>
                <c:pt idx="6">
                  <c:v>6124.9</c:v>
                </c:pt>
                <c:pt idx="7">
                  <c:v>5506.1</c:v>
                </c:pt>
                <c:pt idx="8">
                  <c:v>4353.96</c:v>
                </c:pt>
                <c:pt idx="9">
                  <c:v>3976.71</c:v>
                </c:pt>
                <c:pt idx="10">
                  <c:v>3483.23</c:v>
                </c:pt>
                <c:pt idx="11">
                  <c:v>3205.53</c:v>
                </c:pt>
                <c:pt idx="12">
                  <c:v>2862</c:v>
                </c:pt>
                <c:pt idx="13">
                  <c:v>2759.21</c:v>
                </c:pt>
                <c:pt idx="14">
                  <c:v>2756.41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3B-DF4D-9600-EAA09DCAD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(£)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Country (Top 10)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'Country Analysis'!$C$2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16A085"/>
            </a:solidFill>
            <a:ln>
              <a:prstDash val="solid"/>
            </a:ln>
          </c:spPr>
          <c:invertIfNegative val="1"/>
          <c:cat>
            <c:strRef>
              <c:f>'Country Analysis'!$B$3:$B$12</c:f>
              <c:strCache>
                <c:ptCount val="10"/>
                <c:pt idx="0">
                  <c:v>United Kingdom</c:v>
                </c:pt>
                <c:pt idx="1">
                  <c:v>France</c:v>
                </c:pt>
                <c:pt idx="2">
                  <c:v>Germany</c:v>
                </c:pt>
                <c:pt idx="3">
                  <c:v>Netherlands</c:v>
                </c:pt>
                <c:pt idx="4">
                  <c:v>EIRE</c:v>
                </c:pt>
                <c:pt idx="5">
                  <c:v>Spain</c:v>
                </c:pt>
                <c:pt idx="6">
                  <c:v>Belgium</c:v>
                </c:pt>
                <c:pt idx="7">
                  <c:v>Portugal</c:v>
                </c:pt>
                <c:pt idx="8">
                  <c:v>Switzerland</c:v>
                </c:pt>
                <c:pt idx="9">
                  <c:v>Australia</c:v>
                </c:pt>
              </c:strCache>
            </c:strRef>
          </c:cat>
          <c:val>
            <c:numRef>
              <c:f>'Country Analysis'!$C$3:$C$12</c:f>
              <c:numCache>
                <c:formatCode>#,##0</c:formatCode>
                <c:ptCount val="10"/>
                <c:pt idx="0">
                  <c:v>71873.17</c:v>
                </c:pt>
                <c:pt idx="1">
                  <c:v>5980.37</c:v>
                </c:pt>
                <c:pt idx="2">
                  <c:v>5652.19</c:v>
                </c:pt>
                <c:pt idx="3">
                  <c:v>5309.47</c:v>
                </c:pt>
                <c:pt idx="4">
                  <c:v>2393.73</c:v>
                </c:pt>
                <c:pt idx="5">
                  <c:v>1928.75</c:v>
                </c:pt>
                <c:pt idx="6">
                  <c:v>1696.76</c:v>
                </c:pt>
                <c:pt idx="7">
                  <c:v>845.22</c:v>
                </c:pt>
                <c:pt idx="8">
                  <c:v>795.77</c:v>
                </c:pt>
                <c:pt idx="9">
                  <c:v>758.55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D4-EA49-8FA0-3BA70358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(£)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1</xdr:row>
      <xdr:rowOff>0</xdr:rowOff>
    </xdr:from>
    <xdr:ext cx="50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86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</sheetPr>
  <dimension ref="A1:I26"/>
  <sheetViews>
    <sheetView showGridLines="0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2" width="8" customWidth="1"/>
    <col min="3" max="3" width="12" customWidth="1"/>
    <col min="4" max="4" width="8" customWidth="1"/>
    <col min="5" max="5" width="14" customWidth="1"/>
    <col min="6" max="8" width="12" customWidth="1"/>
    <col min="9" max="9" width="14" customWidth="1"/>
  </cols>
  <sheetData>
    <row r="1" spans="1:9" ht="28" customHeight="1" x14ac:dyDescent="0.2">
      <c r="A1" s="60" t="s">
        <v>75</v>
      </c>
      <c r="B1" s="59"/>
      <c r="C1" s="59"/>
      <c r="D1" s="59"/>
      <c r="E1" s="59"/>
      <c r="F1" s="59"/>
      <c r="G1" s="59"/>
      <c r="H1" s="59"/>
      <c r="I1" s="59"/>
    </row>
    <row r="2" spans="1:9" x14ac:dyDescent="0.2">
      <c r="A2" s="1" t="s">
        <v>51</v>
      </c>
      <c r="B2" s="1" t="s">
        <v>52</v>
      </c>
      <c r="C2" s="1" t="s">
        <v>76</v>
      </c>
      <c r="D2" s="1" t="s">
        <v>53</v>
      </c>
      <c r="E2" s="1" t="s">
        <v>70</v>
      </c>
      <c r="F2" s="1" t="s">
        <v>71</v>
      </c>
      <c r="G2" s="1" t="s">
        <v>73</v>
      </c>
      <c r="H2" s="1" t="s">
        <v>72</v>
      </c>
      <c r="I2" s="1" t="s">
        <v>74</v>
      </c>
    </row>
    <row r="3" spans="1:9" x14ac:dyDescent="0.2">
      <c r="A3" s="8">
        <v>2023</v>
      </c>
      <c r="B3" s="8">
        <v>1</v>
      </c>
      <c r="C3" s="8" t="s">
        <v>69</v>
      </c>
      <c r="D3" s="8" t="s">
        <v>62</v>
      </c>
      <c r="E3" s="3">
        <v>2059.31</v>
      </c>
      <c r="F3" s="9">
        <v>40</v>
      </c>
      <c r="G3" s="9">
        <v>743</v>
      </c>
      <c r="H3" s="9">
        <v>40</v>
      </c>
      <c r="I3" s="4">
        <v>51.482750000000003</v>
      </c>
    </row>
    <row r="4" spans="1:9" x14ac:dyDescent="0.2">
      <c r="A4" s="8">
        <v>2023</v>
      </c>
      <c r="B4" s="8">
        <v>2</v>
      </c>
      <c r="C4" s="8" t="s">
        <v>68</v>
      </c>
      <c r="D4" s="8" t="s">
        <v>62</v>
      </c>
      <c r="E4" s="3">
        <v>2062.5</v>
      </c>
      <c r="F4" s="9">
        <v>41</v>
      </c>
      <c r="G4" s="9">
        <v>698</v>
      </c>
      <c r="H4" s="9">
        <v>41</v>
      </c>
      <c r="I4" s="4">
        <v>50.304878048780488</v>
      </c>
    </row>
    <row r="5" spans="1:9" x14ac:dyDescent="0.2">
      <c r="A5" s="8">
        <v>2023</v>
      </c>
      <c r="B5" s="8">
        <v>3</v>
      </c>
      <c r="C5" s="8" t="s">
        <v>61</v>
      </c>
      <c r="D5" s="8" t="s">
        <v>62</v>
      </c>
      <c r="E5" s="3">
        <v>3220.18</v>
      </c>
      <c r="F5" s="9">
        <v>43</v>
      </c>
      <c r="G5" s="9">
        <v>1076</v>
      </c>
      <c r="H5" s="9">
        <v>43</v>
      </c>
      <c r="I5" s="4">
        <v>74.887906976744176</v>
      </c>
    </row>
    <row r="6" spans="1:9" x14ac:dyDescent="0.2">
      <c r="A6" s="8">
        <v>2023</v>
      </c>
      <c r="B6" s="8">
        <v>4</v>
      </c>
      <c r="C6" s="8" t="s">
        <v>58</v>
      </c>
      <c r="D6" s="8" t="s">
        <v>59</v>
      </c>
      <c r="E6" s="3">
        <v>4412.57</v>
      </c>
      <c r="F6" s="9">
        <v>50</v>
      </c>
      <c r="G6" s="9">
        <v>1379</v>
      </c>
      <c r="H6" s="9">
        <v>50</v>
      </c>
      <c r="I6" s="4">
        <v>88.25139999999999</v>
      </c>
    </row>
    <row r="7" spans="1:9" x14ac:dyDescent="0.2">
      <c r="A7" s="8">
        <v>2023</v>
      </c>
      <c r="B7" s="8">
        <v>5</v>
      </c>
      <c r="C7" s="8" t="s">
        <v>65</v>
      </c>
      <c r="D7" s="8" t="s">
        <v>59</v>
      </c>
      <c r="E7" s="3">
        <v>3199.8</v>
      </c>
      <c r="F7" s="9">
        <v>49</v>
      </c>
      <c r="G7" s="9">
        <v>1080</v>
      </c>
      <c r="H7" s="9">
        <v>49</v>
      </c>
      <c r="I7" s="4">
        <v>65.302040816326539</v>
      </c>
    </row>
    <row r="8" spans="1:9" x14ac:dyDescent="0.2">
      <c r="A8" s="8">
        <v>2023</v>
      </c>
      <c r="B8" s="8">
        <v>6</v>
      </c>
      <c r="C8" s="8" t="s">
        <v>63</v>
      </c>
      <c r="D8" s="8" t="s">
        <v>59</v>
      </c>
      <c r="E8" s="3">
        <v>3305.05</v>
      </c>
      <c r="F8" s="9">
        <v>46</v>
      </c>
      <c r="G8" s="9">
        <v>1023</v>
      </c>
      <c r="H8" s="9">
        <v>46</v>
      </c>
      <c r="I8" s="4">
        <v>71.848913043478262</v>
      </c>
    </row>
    <row r="9" spans="1:9" x14ac:dyDescent="0.2">
      <c r="A9" s="8">
        <v>2023</v>
      </c>
      <c r="B9" s="8">
        <v>7</v>
      </c>
      <c r="C9" s="8" t="s">
        <v>67</v>
      </c>
      <c r="D9" s="8" t="s">
        <v>57</v>
      </c>
      <c r="E9" s="3">
        <v>4636.18</v>
      </c>
      <c r="F9" s="9">
        <v>58</v>
      </c>
      <c r="G9" s="9">
        <v>1516</v>
      </c>
      <c r="H9" s="9">
        <v>58</v>
      </c>
      <c r="I9" s="4">
        <v>79.934137931034485</v>
      </c>
    </row>
    <row r="10" spans="1:9" x14ac:dyDescent="0.2">
      <c r="A10" s="8">
        <v>2023</v>
      </c>
      <c r="B10" s="8">
        <v>8</v>
      </c>
      <c r="C10" s="8" t="s">
        <v>56</v>
      </c>
      <c r="D10" s="8" t="s">
        <v>57</v>
      </c>
      <c r="E10" s="3">
        <v>4558.82</v>
      </c>
      <c r="F10" s="9">
        <v>60</v>
      </c>
      <c r="G10" s="9">
        <v>1402</v>
      </c>
      <c r="H10" s="9">
        <v>60</v>
      </c>
      <c r="I10" s="4">
        <v>75.980333333333334</v>
      </c>
    </row>
    <row r="11" spans="1:9" x14ac:dyDescent="0.2">
      <c r="A11" s="8">
        <v>2023</v>
      </c>
      <c r="B11" s="8">
        <v>9</v>
      </c>
      <c r="C11" s="8" t="s">
        <v>60</v>
      </c>
      <c r="D11" s="8" t="s">
        <v>57</v>
      </c>
      <c r="E11" s="3">
        <v>3432.06</v>
      </c>
      <c r="F11" s="9">
        <v>49</v>
      </c>
      <c r="G11" s="9">
        <v>1240</v>
      </c>
      <c r="H11" s="9">
        <v>49</v>
      </c>
      <c r="I11" s="4">
        <v>70.042040816326534</v>
      </c>
    </row>
    <row r="12" spans="1:9" x14ac:dyDescent="0.2">
      <c r="A12" s="8">
        <v>2023</v>
      </c>
      <c r="B12" s="8">
        <v>10</v>
      </c>
      <c r="C12" s="8" t="s">
        <v>54</v>
      </c>
      <c r="D12" s="8" t="s">
        <v>55</v>
      </c>
      <c r="E12" s="3">
        <v>4115.8</v>
      </c>
      <c r="F12" s="9">
        <v>45</v>
      </c>
      <c r="G12" s="9">
        <v>1365</v>
      </c>
      <c r="H12" s="9">
        <v>45</v>
      </c>
      <c r="I12" s="4">
        <v>91.462222222222223</v>
      </c>
    </row>
    <row r="13" spans="1:9" x14ac:dyDescent="0.2">
      <c r="A13" s="8">
        <v>2023</v>
      </c>
      <c r="B13" s="8">
        <v>11</v>
      </c>
      <c r="C13" s="8" t="s">
        <v>64</v>
      </c>
      <c r="D13" s="8" t="s">
        <v>55</v>
      </c>
      <c r="E13" s="3">
        <v>7372.61</v>
      </c>
      <c r="F13" s="9">
        <v>49</v>
      </c>
      <c r="G13" s="9">
        <v>2274</v>
      </c>
      <c r="H13" s="9">
        <v>49</v>
      </c>
      <c r="I13" s="4">
        <v>150.4614285714286</v>
      </c>
    </row>
    <row r="14" spans="1:9" x14ac:dyDescent="0.2">
      <c r="A14" s="8">
        <v>2023</v>
      </c>
      <c r="B14" s="8">
        <v>12</v>
      </c>
      <c r="C14" s="8" t="s">
        <v>66</v>
      </c>
      <c r="D14" s="8" t="s">
        <v>55</v>
      </c>
      <c r="E14" s="3">
        <v>6915.25</v>
      </c>
      <c r="F14" s="9">
        <v>52</v>
      </c>
      <c r="G14" s="9">
        <v>2135</v>
      </c>
      <c r="H14" s="9">
        <v>52</v>
      </c>
      <c r="I14" s="4">
        <v>132.98557692307691</v>
      </c>
    </row>
    <row r="15" spans="1:9" x14ac:dyDescent="0.2">
      <c r="A15" s="10">
        <v>2024</v>
      </c>
      <c r="B15" s="10">
        <v>1</v>
      </c>
      <c r="C15" s="10" t="s">
        <v>69</v>
      </c>
      <c r="D15" s="10" t="s">
        <v>62</v>
      </c>
      <c r="E15" s="11">
        <v>2579.29</v>
      </c>
      <c r="F15" s="12">
        <v>52</v>
      </c>
      <c r="G15" s="12">
        <v>859</v>
      </c>
      <c r="H15" s="12">
        <v>52</v>
      </c>
      <c r="I15" s="13">
        <v>49.60173076923077</v>
      </c>
    </row>
    <row r="16" spans="1:9" x14ac:dyDescent="0.2">
      <c r="A16" s="10">
        <v>2024</v>
      </c>
      <c r="B16" s="10">
        <v>2</v>
      </c>
      <c r="C16" s="10" t="s">
        <v>68</v>
      </c>
      <c r="D16" s="10" t="s">
        <v>62</v>
      </c>
      <c r="E16" s="11">
        <v>2190.1799999999998</v>
      </c>
      <c r="F16" s="12">
        <v>45</v>
      </c>
      <c r="G16" s="12">
        <v>757</v>
      </c>
      <c r="H16" s="12">
        <v>44</v>
      </c>
      <c r="I16" s="13">
        <v>48.670666666666662</v>
      </c>
    </row>
    <row r="17" spans="1:9" x14ac:dyDescent="0.2">
      <c r="A17" s="10">
        <v>2024</v>
      </c>
      <c r="B17" s="10">
        <v>3</v>
      </c>
      <c r="C17" s="10" t="s">
        <v>61</v>
      </c>
      <c r="D17" s="10" t="s">
        <v>62</v>
      </c>
      <c r="E17" s="11">
        <v>3523.2</v>
      </c>
      <c r="F17" s="12">
        <v>44</v>
      </c>
      <c r="G17" s="12">
        <v>1120</v>
      </c>
      <c r="H17" s="12">
        <v>44</v>
      </c>
      <c r="I17" s="13">
        <v>80.072727272727263</v>
      </c>
    </row>
    <row r="18" spans="1:9" x14ac:dyDescent="0.2">
      <c r="A18" s="10">
        <v>2024</v>
      </c>
      <c r="B18" s="10">
        <v>4</v>
      </c>
      <c r="C18" s="10" t="s">
        <v>58</v>
      </c>
      <c r="D18" s="10" t="s">
        <v>59</v>
      </c>
      <c r="E18" s="11">
        <v>3398.3</v>
      </c>
      <c r="F18" s="12">
        <v>48</v>
      </c>
      <c r="G18" s="12">
        <v>1108</v>
      </c>
      <c r="H18" s="12">
        <v>48</v>
      </c>
      <c r="I18" s="13">
        <v>70.797916666666666</v>
      </c>
    </row>
    <row r="19" spans="1:9" x14ac:dyDescent="0.2">
      <c r="A19" s="10">
        <v>2024</v>
      </c>
      <c r="B19" s="10">
        <v>5</v>
      </c>
      <c r="C19" s="10" t="s">
        <v>65</v>
      </c>
      <c r="D19" s="10" t="s">
        <v>59</v>
      </c>
      <c r="E19" s="11">
        <v>4861.82</v>
      </c>
      <c r="F19" s="12">
        <v>66</v>
      </c>
      <c r="G19" s="12">
        <v>1502</v>
      </c>
      <c r="H19" s="12">
        <v>66</v>
      </c>
      <c r="I19" s="13">
        <v>73.663939393939387</v>
      </c>
    </row>
    <row r="20" spans="1:9" x14ac:dyDescent="0.2">
      <c r="A20" s="10">
        <v>2024</v>
      </c>
      <c r="B20" s="10">
        <v>6</v>
      </c>
      <c r="C20" s="10" t="s">
        <v>63</v>
      </c>
      <c r="D20" s="10" t="s">
        <v>59</v>
      </c>
      <c r="E20" s="11">
        <v>3741.11</v>
      </c>
      <c r="F20" s="12">
        <v>48</v>
      </c>
      <c r="G20" s="12">
        <v>1182</v>
      </c>
      <c r="H20" s="12">
        <v>48</v>
      </c>
      <c r="I20" s="13">
        <v>77.939791666666665</v>
      </c>
    </row>
    <row r="21" spans="1:9" x14ac:dyDescent="0.2">
      <c r="A21" s="10">
        <v>2024</v>
      </c>
      <c r="B21" s="10">
        <v>7</v>
      </c>
      <c r="C21" s="10" t="s">
        <v>67</v>
      </c>
      <c r="D21" s="10" t="s">
        <v>57</v>
      </c>
      <c r="E21" s="11">
        <v>4355.5600000000004</v>
      </c>
      <c r="F21" s="12">
        <v>61</v>
      </c>
      <c r="G21" s="12">
        <v>1514</v>
      </c>
      <c r="H21" s="12">
        <v>61</v>
      </c>
      <c r="I21" s="13">
        <v>71.402622950819676</v>
      </c>
    </row>
    <row r="22" spans="1:9" x14ac:dyDescent="0.2">
      <c r="A22" s="10">
        <v>2024</v>
      </c>
      <c r="B22" s="10">
        <v>8</v>
      </c>
      <c r="C22" s="10" t="s">
        <v>56</v>
      </c>
      <c r="D22" s="10" t="s">
        <v>57</v>
      </c>
      <c r="E22" s="11">
        <v>3556.28</v>
      </c>
      <c r="F22" s="12">
        <v>53</v>
      </c>
      <c r="G22" s="12">
        <v>1079</v>
      </c>
      <c r="H22" s="12">
        <v>53</v>
      </c>
      <c r="I22" s="13">
        <v>67.099622641509441</v>
      </c>
    </row>
    <row r="23" spans="1:9" x14ac:dyDescent="0.2">
      <c r="A23" s="10">
        <v>2024</v>
      </c>
      <c r="B23" s="10">
        <v>9</v>
      </c>
      <c r="C23" s="10" t="s">
        <v>60</v>
      </c>
      <c r="D23" s="10" t="s">
        <v>57</v>
      </c>
      <c r="E23" s="11">
        <v>3248.33</v>
      </c>
      <c r="F23" s="12">
        <v>49</v>
      </c>
      <c r="G23" s="12">
        <v>1047</v>
      </c>
      <c r="H23" s="12">
        <v>49</v>
      </c>
      <c r="I23" s="13">
        <v>66.292448979591839</v>
      </c>
    </row>
    <row r="24" spans="1:9" x14ac:dyDescent="0.2">
      <c r="A24" s="10">
        <v>2024</v>
      </c>
      <c r="B24" s="10">
        <v>10</v>
      </c>
      <c r="C24" s="10" t="s">
        <v>54</v>
      </c>
      <c r="D24" s="10" t="s">
        <v>55</v>
      </c>
      <c r="E24" s="11">
        <v>4789.99</v>
      </c>
      <c r="F24" s="12">
        <v>55</v>
      </c>
      <c r="G24" s="12">
        <v>1599</v>
      </c>
      <c r="H24" s="12">
        <v>54</v>
      </c>
      <c r="I24" s="13">
        <v>87.090727272727264</v>
      </c>
    </row>
    <row r="25" spans="1:9" x14ac:dyDescent="0.2">
      <c r="A25" s="10">
        <v>2024</v>
      </c>
      <c r="B25" s="10">
        <v>11</v>
      </c>
      <c r="C25" s="10" t="s">
        <v>64</v>
      </c>
      <c r="D25" s="10" t="s">
        <v>55</v>
      </c>
      <c r="E25" s="11">
        <v>5767.96</v>
      </c>
      <c r="F25" s="12">
        <v>40</v>
      </c>
      <c r="G25" s="12">
        <v>1861</v>
      </c>
      <c r="H25" s="12">
        <v>40</v>
      </c>
      <c r="I25" s="13">
        <v>144.19900000000001</v>
      </c>
    </row>
    <row r="26" spans="1:9" x14ac:dyDescent="0.2">
      <c r="A26" s="10">
        <v>2024</v>
      </c>
      <c r="B26" s="10">
        <v>12</v>
      </c>
      <c r="C26" s="10" t="s">
        <v>66</v>
      </c>
      <c r="D26" s="10" t="s">
        <v>55</v>
      </c>
      <c r="E26" s="11">
        <v>5931.83</v>
      </c>
      <c r="F26" s="12">
        <v>52</v>
      </c>
      <c r="G26" s="12">
        <v>1862</v>
      </c>
      <c r="H26" s="12">
        <v>51</v>
      </c>
      <c r="I26" s="13">
        <v>114.0736538461538</v>
      </c>
    </row>
  </sheetData>
  <autoFilter ref="A2:I2" xr:uid="{00000000-0009-0000-0000-000003000000}"/>
  <mergeCells count="1">
    <mergeCell ref="A1:I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A6F1E"/>
  </sheetPr>
  <dimension ref="A1:G11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14" customWidth="1"/>
    <col min="4" max="4" width="12" customWidth="1"/>
    <col min="5" max="5" width="10" customWidth="1"/>
    <col min="6" max="6" width="12" customWidth="1"/>
    <col min="7" max="7" width="14" customWidth="1"/>
  </cols>
  <sheetData>
    <row r="1" spans="1:7" ht="28" customHeight="1" x14ac:dyDescent="0.2">
      <c r="A1" s="60" t="s">
        <v>77</v>
      </c>
      <c r="B1" s="59"/>
      <c r="C1" s="59"/>
      <c r="D1" s="59"/>
      <c r="E1" s="59"/>
      <c r="F1" s="59"/>
      <c r="G1" s="59"/>
    </row>
    <row r="2" spans="1:7" x14ac:dyDescent="0.2">
      <c r="A2" s="1" t="s">
        <v>78</v>
      </c>
      <c r="B2" s="1" t="s">
        <v>0</v>
      </c>
      <c r="C2" s="1" t="s">
        <v>70</v>
      </c>
      <c r="D2" s="1" t="s">
        <v>79</v>
      </c>
      <c r="E2" s="1" t="s">
        <v>71</v>
      </c>
      <c r="F2" s="1" t="s">
        <v>80</v>
      </c>
      <c r="G2" s="1" t="s">
        <v>81</v>
      </c>
    </row>
    <row r="3" spans="1:7" x14ac:dyDescent="0.2">
      <c r="A3" s="14">
        <v>1</v>
      </c>
      <c r="B3" s="15" t="s">
        <v>15</v>
      </c>
      <c r="C3" s="16">
        <v>18817.36</v>
      </c>
      <c r="D3" s="17">
        <v>0.1935265840192904</v>
      </c>
      <c r="E3" s="16">
        <v>446</v>
      </c>
      <c r="F3" s="16">
        <v>4553</v>
      </c>
      <c r="G3" s="18">
        <v>4.1373415492957752</v>
      </c>
    </row>
    <row r="4" spans="1:7" x14ac:dyDescent="0.2">
      <c r="A4" s="5">
        <v>2</v>
      </c>
      <c r="B4" s="19" t="s">
        <v>12</v>
      </c>
      <c r="C4" s="6">
        <v>14381.87</v>
      </c>
      <c r="D4" s="20">
        <v>0.14790991791141331</v>
      </c>
      <c r="E4" s="6">
        <v>191</v>
      </c>
      <c r="F4" s="6">
        <v>1689</v>
      </c>
      <c r="G4" s="7">
        <v>8.5192753623188402</v>
      </c>
    </row>
    <row r="5" spans="1:7" x14ac:dyDescent="0.2">
      <c r="A5" s="21">
        <v>3</v>
      </c>
      <c r="B5" s="22" t="s">
        <v>41</v>
      </c>
      <c r="C5" s="23">
        <v>13052.5</v>
      </c>
      <c r="D5" s="24">
        <v>0.13423805134789299</v>
      </c>
      <c r="E5" s="23">
        <v>334</v>
      </c>
      <c r="F5" s="23">
        <v>3233</v>
      </c>
      <c r="G5" s="25">
        <v>4.0176190476190472</v>
      </c>
    </row>
    <row r="6" spans="1:7" x14ac:dyDescent="0.2">
      <c r="A6" s="26">
        <v>4</v>
      </c>
      <c r="B6" s="27" t="s">
        <v>9</v>
      </c>
      <c r="C6" s="28">
        <v>12690.86</v>
      </c>
      <c r="D6" s="29">
        <v>0.13051877543220999</v>
      </c>
      <c r="E6" s="28">
        <v>574</v>
      </c>
      <c r="F6" s="28">
        <v>6482</v>
      </c>
      <c r="G6" s="30">
        <v>1.957180124223602</v>
      </c>
    </row>
    <row r="7" spans="1:7" x14ac:dyDescent="0.2">
      <c r="A7" s="31">
        <v>5</v>
      </c>
      <c r="B7" s="32" t="s">
        <v>6</v>
      </c>
      <c r="C7" s="33">
        <v>9810.2100000000009</v>
      </c>
      <c r="D7" s="34">
        <v>0.1008928154540213</v>
      </c>
      <c r="E7" s="33">
        <v>308</v>
      </c>
      <c r="F7" s="33">
        <v>2905</v>
      </c>
      <c r="G7" s="35">
        <v>3.3730913978494619</v>
      </c>
    </row>
    <row r="8" spans="1:7" x14ac:dyDescent="0.2">
      <c r="A8" s="36">
        <v>6</v>
      </c>
      <c r="B8" s="10" t="s">
        <v>2</v>
      </c>
      <c r="C8" s="11">
        <v>9206.9</v>
      </c>
      <c r="D8" s="37">
        <v>9.468809154988822E-2</v>
      </c>
      <c r="E8" s="11">
        <v>345</v>
      </c>
      <c r="F8" s="11">
        <v>3177</v>
      </c>
      <c r="G8" s="13">
        <v>2.910050890585242</v>
      </c>
    </row>
    <row r="9" spans="1:7" x14ac:dyDescent="0.2">
      <c r="A9" s="38">
        <v>7</v>
      </c>
      <c r="B9" s="39" t="s">
        <v>19</v>
      </c>
      <c r="C9" s="40">
        <v>8912.73</v>
      </c>
      <c r="D9" s="41">
        <v>9.1662708859598263E-2</v>
      </c>
      <c r="E9" s="40">
        <v>499</v>
      </c>
      <c r="F9" s="40">
        <v>4949</v>
      </c>
      <c r="G9" s="42">
        <v>1.8027672955974841</v>
      </c>
    </row>
    <row r="10" spans="1:7" x14ac:dyDescent="0.2">
      <c r="A10" s="43">
        <v>8</v>
      </c>
      <c r="B10" s="44" t="s">
        <v>30</v>
      </c>
      <c r="C10" s="45">
        <v>5506.1</v>
      </c>
      <c r="D10" s="46">
        <v>5.6627323081910257E-2</v>
      </c>
      <c r="E10" s="45">
        <v>169</v>
      </c>
      <c r="F10" s="45">
        <v>1476</v>
      </c>
      <c r="G10" s="47">
        <v>3.73340425531915</v>
      </c>
    </row>
    <row r="11" spans="1:7" x14ac:dyDescent="0.2">
      <c r="A11" s="48">
        <v>9</v>
      </c>
      <c r="B11" s="49" t="s">
        <v>16</v>
      </c>
      <c r="C11" s="50">
        <v>4855.45</v>
      </c>
      <c r="D11" s="51">
        <v>4.9935732343775303E-2</v>
      </c>
      <c r="E11" s="50">
        <v>315</v>
      </c>
      <c r="F11" s="50">
        <v>2957</v>
      </c>
      <c r="G11" s="52">
        <v>1.643368421052632</v>
      </c>
    </row>
  </sheetData>
  <mergeCells count="1">
    <mergeCell ref="A1:G1"/>
  </mergeCells>
  <conditionalFormatting sqref="C3:C11">
    <cfRule type="dataBar" priority="1">
      <dataBar>
        <cfvo type="min"/>
        <cfvo type="max"/>
        <color rgb="FF2E86C1"/>
      </dataBar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G17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42" customWidth="1"/>
    <col min="4" max="4" width="16" customWidth="1"/>
    <col min="5" max="5" width="14" customWidth="1"/>
    <col min="6" max="6" width="12" customWidth="1"/>
    <col min="7" max="7" width="10" customWidth="1"/>
  </cols>
  <sheetData>
    <row r="1" spans="1:7" ht="28" customHeight="1" x14ac:dyDescent="0.2">
      <c r="A1" s="60" t="s">
        <v>82</v>
      </c>
      <c r="B1" s="59"/>
      <c r="C1" s="59"/>
      <c r="D1" s="59"/>
      <c r="E1" s="59"/>
      <c r="F1" s="59"/>
      <c r="G1" s="59"/>
    </row>
    <row r="2" spans="1:7" x14ac:dyDescent="0.2">
      <c r="A2" s="1" t="s">
        <v>78</v>
      </c>
      <c r="B2" s="1" t="s">
        <v>83</v>
      </c>
      <c r="C2" s="1" t="s">
        <v>84</v>
      </c>
      <c r="D2" s="1" t="s">
        <v>0</v>
      </c>
      <c r="E2" s="1" t="s">
        <v>70</v>
      </c>
      <c r="F2" s="1" t="s">
        <v>80</v>
      </c>
      <c r="G2" s="1" t="s">
        <v>71</v>
      </c>
    </row>
    <row r="3" spans="1:7" x14ac:dyDescent="0.2">
      <c r="A3" s="48">
        <v>1</v>
      </c>
      <c r="B3" s="49" t="s">
        <v>10</v>
      </c>
      <c r="C3" s="49" t="s">
        <v>11</v>
      </c>
      <c r="D3" s="49" t="s">
        <v>12</v>
      </c>
      <c r="E3" s="50">
        <v>14381.87</v>
      </c>
      <c r="F3" s="50">
        <v>1689</v>
      </c>
      <c r="G3" s="50">
        <v>191</v>
      </c>
    </row>
    <row r="4" spans="1:7" x14ac:dyDescent="0.2">
      <c r="A4" s="26">
        <v>2</v>
      </c>
      <c r="B4" s="27" t="s">
        <v>42</v>
      </c>
      <c r="C4" s="27" t="s">
        <v>43</v>
      </c>
      <c r="D4" s="27" t="s">
        <v>41</v>
      </c>
      <c r="E4" s="28">
        <v>8698.5400000000009</v>
      </c>
      <c r="F4" s="28">
        <v>1753</v>
      </c>
      <c r="G4" s="28">
        <v>194</v>
      </c>
    </row>
    <row r="5" spans="1:7" x14ac:dyDescent="0.2">
      <c r="A5" s="38">
        <v>3</v>
      </c>
      <c r="B5" s="39" t="s">
        <v>17</v>
      </c>
      <c r="C5" s="39" t="s">
        <v>18</v>
      </c>
      <c r="D5" s="39" t="s">
        <v>2</v>
      </c>
      <c r="E5" s="40">
        <v>7859.65</v>
      </c>
      <c r="F5" s="40">
        <v>1588</v>
      </c>
      <c r="G5" s="40">
        <v>185</v>
      </c>
    </row>
    <row r="6" spans="1:7" x14ac:dyDescent="0.2">
      <c r="A6" s="43">
        <v>4</v>
      </c>
      <c r="B6" s="44" t="s">
        <v>4</v>
      </c>
      <c r="C6" s="44" t="s">
        <v>5</v>
      </c>
      <c r="D6" s="44" t="s">
        <v>6</v>
      </c>
      <c r="E6" s="45">
        <v>7549.2</v>
      </c>
      <c r="F6" s="45">
        <v>1529</v>
      </c>
      <c r="G6" s="45">
        <v>181</v>
      </c>
    </row>
    <row r="7" spans="1:7" x14ac:dyDescent="0.2">
      <c r="A7" s="14">
        <v>5</v>
      </c>
      <c r="B7" s="15" t="s">
        <v>20</v>
      </c>
      <c r="C7" s="15" t="s">
        <v>21</v>
      </c>
      <c r="D7" s="15" t="s">
        <v>15</v>
      </c>
      <c r="E7" s="16">
        <v>6428.3</v>
      </c>
      <c r="F7" s="16">
        <v>1515</v>
      </c>
      <c r="G7" s="16">
        <v>174</v>
      </c>
    </row>
    <row r="8" spans="1:7" x14ac:dyDescent="0.2">
      <c r="A8" s="14">
        <v>6</v>
      </c>
      <c r="B8" s="15" t="s">
        <v>35</v>
      </c>
      <c r="C8" s="15" t="s">
        <v>36</v>
      </c>
      <c r="D8" s="15" t="s">
        <v>15</v>
      </c>
      <c r="E8" s="16">
        <v>6264.16</v>
      </c>
      <c r="F8" s="16">
        <v>1593</v>
      </c>
      <c r="G8" s="16">
        <v>181</v>
      </c>
    </row>
    <row r="9" spans="1:7" x14ac:dyDescent="0.2">
      <c r="A9" s="14">
        <v>7</v>
      </c>
      <c r="B9" s="15" t="s">
        <v>13</v>
      </c>
      <c r="C9" s="15" t="s">
        <v>14</v>
      </c>
      <c r="D9" s="15" t="s">
        <v>15</v>
      </c>
      <c r="E9" s="16">
        <v>6124.9</v>
      </c>
      <c r="F9" s="16">
        <v>1445</v>
      </c>
      <c r="G9" s="16">
        <v>164</v>
      </c>
    </row>
    <row r="10" spans="1:7" x14ac:dyDescent="0.2">
      <c r="A10" s="5">
        <v>8</v>
      </c>
      <c r="B10" s="19" t="s">
        <v>28</v>
      </c>
      <c r="C10" s="19" t="s">
        <v>29</v>
      </c>
      <c r="D10" s="19" t="s">
        <v>30</v>
      </c>
      <c r="E10" s="6">
        <v>5506.1</v>
      </c>
      <c r="F10" s="6">
        <v>1476</v>
      </c>
      <c r="G10" s="6">
        <v>169</v>
      </c>
    </row>
    <row r="11" spans="1:7" x14ac:dyDescent="0.2">
      <c r="A11" s="26">
        <v>9</v>
      </c>
      <c r="B11" s="27" t="s">
        <v>39</v>
      </c>
      <c r="C11" s="27" t="s">
        <v>40</v>
      </c>
      <c r="D11" s="27" t="s">
        <v>41</v>
      </c>
      <c r="E11" s="28">
        <v>4353.96</v>
      </c>
      <c r="F11" s="28">
        <v>1480</v>
      </c>
      <c r="G11" s="28">
        <v>175</v>
      </c>
    </row>
    <row r="12" spans="1:7" x14ac:dyDescent="0.2">
      <c r="A12" s="5">
        <v>10</v>
      </c>
      <c r="B12" s="19" t="s">
        <v>31</v>
      </c>
      <c r="C12" s="19" t="s">
        <v>32</v>
      </c>
      <c r="D12" s="19" t="s">
        <v>9</v>
      </c>
      <c r="E12" s="6">
        <v>3976.71</v>
      </c>
      <c r="F12" s="6">
        <v>1566</v>
      </c>
      <c r="G12" s="6">
        <v>175</v>
      </c>
    </row>
    <row r="13" spans="1:7" x14ac:dyDescent="0.2">
      <c r="A13" s="21">
        <v>11</v>
      </c>
      <c r="B13" s="22" t="s">
        <v>26</v>
      </c>
      <c r="C13" s="22" t="s">
        <v>27</v>
      </c>
      <c r="D13" s="22" t="s">
        <v>19</v>
      </c>
      <c r="E13" s="23">
        <v>3483.23</v>
      </c>
      <c r="F13" s="23">
        <v>1660</v>
      </c>
      <c r="G13" s="23">
        <v>193</v>
      </c>
    </row>
    <row r="14" spans="1:7" x14ac:dyDescent="0.2">
      <c r="A14" s="5">
        <v>12</v>
      </c>
      <c r="B14" s="19" t="s">
        <v>23</v>
      </c>
      <c r="C14" s="19" t="s">
        <v>24</v>
      </c>
      <c r="D14" s="19" t="s">
        <v>9</v>
      </c>
      <c r="E14" s="6">
        <v>3205.53</v>
      </c>
      <c r="F14" s="6">
        <v>1606</v>
      </c>
      <c r="G14" s="6">
        <v>183</v>
      </c>
    </row>
    <row r="15" spans="1:7" x14ac:dyDescent="0.2">
      <c r="A15" s="36">
        <v>13</v>
      </c>
      <c r="B15" s="10" t="s">
        <v>37</v>
      </c>
      <c r="C15" s="10" t="s">
        <v>38</v>
      </c>
      <c r="D15" s="10" t="s">
        <v>16</v>
      </c>
      <c r="E15" s="11">
        <v>2862</v>
      </c>
      <c r="F15" s="11">
        <v>1364</v>
      </c>
      <c r="G15" s="11">
        <v>164</v>
      </c>
    </row>
    <row r="16" spans="1:7" x14ac:dyDescent="0.2">
      <c r="A16" s="21">
        <v>14</v>
      </c>
      <c r="B16" s="22" t="s">
        <v>33</v>
      </c>
      <c r="C16" s="22" t="s">
        <v>34</v>
      </c>
      <c r="D16" s="22" t="s">
        <v>19</v>
      </c>
      <c r="E16" s="23">
        <v>2759.21</v>
      </c>
      <c r="F16" s="23">
        <v>1673</v>
      </c>
      <c r="G16" s="23">
        <v>194</v>
      </c>
    </row>
    <row r="17" spans="1:7" x14ac:dyDescent="0.2">
      <c r="A17" s="5">
        <v>15</v>
      </c>
      <c r="B17" s="19" t="s">
        <v>7</v>
      </c>
      <c r="C17" s="19" t="s">
        <v>8</v>
      </c>
      <c r="D17" s="19" t="s">
        <v>9</v>
      </c>
      <c r="E17" s="6">
        <v>2756.41</v>
      </c>
      <c r="F17" s="6">
        <v>1679</v>
      </c>
      <c r="G17" s="6">
        <v>189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6A085"/>
  </sheetPr>
  <dimension ref="A1:G12"/>
  <sheetViews>
    <sheetView showGridLines="0" tabSelected="1" workbookViewId="0">
      <selection sqref="A1:G1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14" customWidth="1"/>
    <col min="4" max="4" width="12" customWidth="1"/>
    <col min="5" max="5" width="10" customWidth="1"/>
    <col min="6" max="6" width="12" customWidth="1"/>
    <col min="7" max="7" width="14" customWidth="1"/>
  </cols>
  <sheetData>
    <row r="1" spans="1:7" ht="28" customHeight="1" x14ac:dyDescent="0.2">
      <c r="A1" s="60" t="s">
        <v>85</v>
      </c>
      <c r="B1" s="59"/>
      <c r="C1" s="59"/>
      <c r="D1" s="59"/>
      <c r="E1" s="59"/>
      <c r="F1" s="59"/>
      <c r="G1" s="59"/>
    </row>
    <row r="2" spans="1:7" x14ac:dyDescent="0.2">
      <c r="A2" s="1" t="s">
        <v>78</v>
      </c>
      <c r="B2" s="1" t="s">
        <v>1</v>
      </c>
      <c r="C2" s="1" t="s">
        <v>70</v>
      </c>
      <c r="D2" s="1" t="s">
        <v>79</v>
      </c>
      <c r="E2" s="1" t="s">
        <v>71</v>
      </c>
      <c r="F2" s="1" t="s">
        <v>72</v>
      </c>
      <c r="G2" s="1" t="s">
        <v>74</v>
      </c>
    </row>
    <row r="3" spans="1:7" x14ac:dyDescent="0.2">
      <c r="A3" s="53">
        <v>1</v>
      </c>
      <c r="B3" s="54" t="s">
        <v>3</v>
      </c>
      <c r="C3" s="55">
        <v>71873.17</v>
      </c>
      <c r="D3" s="56">
        <v>0.73917749741396976</v>
      </c>
      <c r="E3" s="55">
        <v>895</v>
      </c>
      <c r="F3" s="55">
        <v>855</v>
      </c>
      <c r="G3" s="57">
        <v>80.305217877094975</v>
      </c>
    </row>
    <row r="4" spans="1:7" x14ac:dyDescent="0.2">
      <c r="A4" s="5">
        <v>2</v>
      </c>
      <c r="B4" s="19" t="s">
        <v>25</v>
      </c>
      <c r="C4" s="6">
        <v>5980.37</v>
      </c>
      <c r="D4" s="20">
        <v>6.15049389112736E-2</v>
      </c>
      <c r="E4" s="6">
        <v>60</v>
      </c>
      <c r="F4" s="6">
        <v>60</v>
      </c>
      <c r="G4" s="7">
        <v>99.67283333333333</v>
      </c>
    </row>
    <row r="5" spans="1:7" x14ac:dyDescent="0.2">
      <c r="A5" s="5">
        <v>3</v>
      </c>
      <c r="B5" s="19" t="s">
        <v>45</v>
      </c>
      <c r="C5" s="6">
        <v>5652.19</v>
      </c>
      <c r="D5" s="20">
        <v>5.8129781378896538E-2</v>
      </c>
      <c r="E5" s="6">
        <v>75</v>
      </c>
      <c r="F5" s="6">
        <v>75</v>
      </c>
      <c r="G5" s="7">
        <v>75.362533333333332</v>
      </c>
    </row>
    <row r="6" spans="1:7" x14ac:dyDescent="0.2">
      <c r="A6" s="2">
        <v>4</v>
      </c>
      <c r="B6" s="8" t="s">
        <v>22</v>
      </c>
      <c r="C6" s="3">
        <v>5309.47</v>
      </c>
      <c r="D6" s="58">
        <v>5.4605087645286141E-2</v>
      </c>
      <c r="E6" s="3">
        <v>51</v>
      </c>
      <c r="F6" s="3">
        <v>51</v>
      </c>
      <c r="G6" s="4">
        <v>104.1072549019608</v>
      </c>
    </row>
    <row r="7" spans="1:7" x14ac:dyDescent="0.2">
      <c r="A7" s="2">
        <v>5</v>
      </c>
      <c r="B7" s="8" t="s">
        <v>48</v>
      </c>
      <c r="C7" s="3">
        <v>2393.73</v>
      </c>
      <c r="D7" s="58">
        <v>2.461824559685822E-2</v>
      </c>
      <c r="E7" s="3">
        <v>34</v>
      </c>
      <c r="F7" s="3">
        <v>34</v>
      </c>
      <c r="G7" s="4">
        <v>70.403823529411767</v>
      </c>
    </row>
    <row r="8" spans="1:7" x14ac:dyDescent="0.2">
      <c r="A8" s="2">
        <v>6</v>
      </c>
      <c r="B8" s="8" t="s">
        <v>44</v>
      </c>
      <c r="C8" s="3">
        <v>1928.75</v>
      </c>
      <c r="D8" s="58">
        <v>1.9836172498544229E-2</v>
      </c>
      <c r="E8" s="3">
        <v>25</v>
      </c>
      <c r="F8" s="3">
        <v>25</v>
      </c>
      <c r="G8" s="4">
        <v>77.150000000000006</v>
      </c>
    </row>
    <row r="9" spans="1:7" x14ac:dyDescent="0.2">
      <c r="A9" s="2">
        <v>7</v>
      </c>
      <c r="B9" s="8" t="s">
        <v>47</v>
      </c>
      <c r="C9" s="3">
        <v>1696.76</v>
      </c>
      <c r="D9" s="58">
        <v>1.745027818464286E-2</v>
      </c>
      <c r="E9" s="3">
        <v>23</v>
      </c>
      <c r="F9" s="3">
        <v>23</v>
      </c>
      <c r="G9" s="4">
        <v>73.772173913043474</v>
      </c>
    </row>
    <row r="10" spans="1:7" x14ac:dyDescent="0.2">
      <c r="A10" s="2">
        <v>8</v>
      </c>
      <c r="B10" s="8" t="s">
        <v>46</v>
      </c>
      <c r="C10" s="3">
        <v>845.22</v>
      </c>
      <c r="D10" s="58">
        <v>8.6926401655059264E-3</v>
      </c>
      <c r="E10" s="3">
        <v>13</v>
      </c>
      <c r="F10" s="3">
        <v>13</v>
      </c>
      <c r="G10" s="4">
        <v>65.016923076923078</v>
      </c>
    </row>
    <row r="11" spans="1:7" x14ac:dyDescent="0.2">
      <c r="A11" s="2">
        <v>9</v>
      </c>
      <c r="B11" s="8" t="s">
        <v>49</v>
      </c>
      <c r="C11" s="3">
        <v>795.77</v>
      </c>
      <c r="D11" s="58">
        <v>8.184073098725363E-3</v>
      </c>
      <c r="E11" s="3">
        <v>9</v>
      </c>
      <c r="F11" s="3">
        <v>9</v>
      </c>
      <c r="G11" s="4">
        <v>88.418888888888887</v>
      </c>
    </row>
    <row r="12" spans="1:7" x14ac:dyDescent="0.2">
      <c r="A12" s="2">
        <v>10</v>
      </c>
      <c r="B12" s="8" t="s">
        <v>50</v>
      </c>
      <c r="C12" s="3">
        <v>758.55</v>
      </c>
      <c r="D12" s="58">
        <v>7.8012851062972009E-3</v>
      </c>
      <c r="E12" s="3">
        <v>10</v>
      </c>
      <c r="F12" s="3">
        <v>10</v>
      </c>
      <c r="G12" s="4">
        <v>75.85499999999999</v>
      </c>
    </row>
  </sheetData>
  <mergeCells count="1">
    <mergeCell ref="A1:G1"/>
  </mergeCells>
  <conditionalFormatting sqref="C3:C12">
    <cfRule type="dataBar" priority="1">
      <dataBar>
        <cfvo type="min"/>
        <cfvo type="max"/>
        <color rgb="FF1E8449"/>
      </dataBar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Trend</vt:lpstr>
      <vt:lpstr>Category Analysis</vt:lpstr>
      <vt:lpstr>Top Products</vt:lpstr>
      <vt:lpstr>Country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Bidusha Shrestha</cp:lastModifiedBy>
  <dcterms:created xsi:type="dcterms:W3CDTF">2026-04-26T14:06:56Z</dcterms:created>
  <dcterms:modified xsi:type="dcterms:W3CDTF">2026-05-04T17:36:05Z</dcterms:modified>
</cp:coreProperties>
</file>